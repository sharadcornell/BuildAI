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er-Cohort" sheetId="3" state="visible" r:id="rId5"/>
    <sheet name="Multi-Year" sheetId="4" state="visible" r:id="rId6"/>
    <sheet name="Phase 2" sheetId="5" state="visible" r:id="rId7"/>
    <sheet name="Sensitivity" sheetId="6" state="visible" r:id="rId8"/>
    <sheet name="AI Token Cos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<sst xmlns="http://schemas.openxmlformats.org/spreadsheetml/2006/main" count="226" uniqueCount="207">
  <si>
    <t xml:space="preserve">BuildAI — Financial Model</t>
  </si>
  <si>
    <t xml:space="preserve">Cohort economics, multi-year revenue &amp; cost projection, sensitivity analysis</t>
  </si>
  <si>
    <t xml:space="preserve">Internal working document — Sharad Agrawal</t>
  </si>
  <si>
    <t xml:space="preserve">Color conventions</t>
  </si>
  <si>
    <t xml:space="preserve">Blue text</t>
  </si>
  <si>
    <t xml:space="preserve">Hardcoded inputs — change these to model different scenarios</t>
  </si>
  <si>
    <t xml:space="preserve">Black text</t>
  </si>
  <si>
    <t xml:space="preserve">Excel formulas / calculations — do not edit directly</t>
  </si>
  <si>
    <t xml:space="preserve">Green text</t>
  </si>
  <si>
    <t xml:space="preserve">Cross-sheet links — reference values from other tabs</t>
  </si>
  <si>
    <t xml:space="preserve">Yellow background</t>
  </si>
  <si>
    <t xml:space="preserve">Key assumption — review before using the model</t>
  </si>
  <si>
    <t xml:space="preserve">Sheets in this workbook</t>
  </si>
  <si>
    <t xml:space="preserve">Assumptions</t>
  </si>
  <si>
    <t xml:space="preserve">All editable inputs in one place</t>
  </si>
  <si>
    <t xml:space="preserve">Per-Cohort</t>
  </si>
  <si>
    <t xml:space="preserve">Single-cohort revenue, cost, gross margin</t>
  </si>
  <si>
    <t xml:space="preserve">Multi-Year</t>
  </si>
  <si>
    <t xml:space="preserve">5-year revenue, cost, and margin projection</t>
  </si>
  <si>
    <t xml:space="preserve">Phase 2</t>
  </si>
  <si>
    <t xml:space="preserve">Startup placement &amp; hiring fee model (Year 1 onwards)</t>
  </si>
  <si>
    <t xml:space="preserve">Sensitivity</t>
  </si>
  <si>
    <t xml:space="preserve">What happens at different price points and cohort sizes</t>
  </si>
  <si>
    <t xml:space="preserve">Every blue cell is an editable input. Modify to model scenarios.</t>
  </si>
  <si>
    <t xml:space="preserve">PRICING</t>
  </si>
  <si>
    <t xml:space="preserve">Student-facing program fee (INR)</t>
  </si>
  <si>
    <t xml:space="preserve">Mid-point of ₹20K–₹25K band</t>
  </si>
  <si>
    <t xml:space="preserve">College administrative margin per student (INR)</t>
  </si>
  <si>
    <t xml:space="preserve">Mid-point of ₹5K–₹7K</t>
  </si>
  <si>
    <t xml:space="preserve">BuildAI revenue per student (INR)</t>
  </si>
  <si>
    <t xml:space="preserve">Derived: student fee minus college margin</t>
  </si>
  <si>
    <t xml:space="preserve">COHORT STRUCTURE</t>
  </si>
  <si>
    <t xml:space="preserve">Students per cohort</t>
  </si>
  <si>
    <t xml:space="preserve">Target operational sweet spot</t>
  </si>
  <si>
    <t xml:space="preserve">Cohort duration (weeks)</t>
  </si>
  <si>
    <t xml:space="preserve">Standard 13-week program</t>
  </si>
  <si>
    <t xml:space="preserve">Lead mentors per cohort</t>
  </si>
  <si>
    <t xml:space="preserve">1 lead mentor per ~25 students + peer review</t>
  </si>
  <si>
    <t xml:space="preserve">Students per lead mentor</t>
  </si>
  <si>
    <t xml:space="preserve">Derived</t>
  </si>
  <si>
    <t xml:space="preserve">Cohorts per college per year</t>
  </si>
  <si>
    <t xml:space="preserve">Summer + winter typical</t>
  </si>
  <si>
    <t xml:space="preserve">COSTS PER COHORT</t>
  </si>
  <si>
    <t xml:space="preserve">Mentor pay per mentor per week (INR)</t>
  </si>
  <si>
    <t xml:space="preserve">Per lead mentor, ~5 hours commitment</t>
  </si>
  <si>
    <t xml:space="preserve">Total mentor cost per cohort (INR)</t>
  </si>
  <si>
    <t xml:space="preserve">Derived: per-week × mentors × weeks</t>
  </si>
  <si>
    <t xml:space="preserve">Platform/tool cost per cohort (INR)</t>
  </si>
  <si>
    <t xml:space="preserve">Anthropic API, Vercel, Supabase, etc.</t>
  </si>
  <si>
    <t xml:space="preserve">External reviewer honorariums per cohort (INR)</t>
  </si>
  <si>
    <t xml:space="preserve">5 reviewers × ₹8K</t>
  </si>
  <si>
    <t xml:space="preserve">Ops/coordination allocated per cohort (INR)</t>
  </si>
  <si>
    <t xml:space="preserve">Allocated India ops + tools</t>
  </si>
  <si>
    <t xml:space="preserve">Total cost per cohort (INR)</t>
  </si>
  <si>
    <t xml:space="preserve">Sum of all cohort costs</t>
  </si>
  <si>
    <t xml:space="preserve">GROWTH PROJECTION (COLLEGES PARTNERED)</t>
  </si>
  <si>
    <t xml:space="preserve">Year 1 colleges</t>
  </si>
  <si>
    <t xml:space="preserve">Pilot + 2 ramp</t>
  </si>
  <si>
    <t xml:space="preserve">Year 2 colleges</t>
  </si>
  <si>
    <t xml:space="preserve">Conservative growth</t>
  </si>
  <si>
    <t xml:space="preserve">Year 3 colleges</t>
  </si>
  <si>
    <t xml:space="preserve">Distribution unlock</t>
  </si>
  <si>
    <t xml:space="preserve">Year 4 colleges</t>
  </si>
  <si>
    <t xml:space="preserve">Scaling proven model</t>
  </si>
  <si>
    <t xml:space="preserve">Year 5 colleges</t>
  </si>
  <si>
    <t xml:space="preserve">Mature network</t>
  </si>
  <si>
    <t xml:space="preserve">PHASE 2 — STARTUP PLACEMENT</t>
  </si>
  <si>
    <t xml:space="preserve">Distinction graduates per cohort (%)</t>
  </si>
  <si>
    <t xml:space="preserve">Top 10–15% of cohort</t>
  </si>
  <si>
    <t xml:space="preserve">% of distinction grads placed</t>
  </si>
  <si>
    <t xml:space="preserve">Half opt for startup placement</t>
  </si>
  <si>
    <t xml:space="preserve">Avg startup placement fee per intern (INR)</t>
  </si>
  <si>
    <t xml:space="preserve">₹25K–₹50K band</t>
  </si>
  <si>
    <t xml:space="preserve">% of placed interns converting to FT hire</t>
  </si>
  <si>
    <t xml:space="preserve">Industry-typical conversion</t>
  </si>
  <si>
    <t xml:space="preserve">Avg first-year FT compensation (INR)</t>
  </si>
  <si>
    <t xml:space="preserve">₹15 LPA AI-startup hire</t>
  </si>
  <si>
    <t xml:space="preserve">BuildAI hiring fee rate</t>
  </si>
  <si>
    <t xml:space="preserve">10% of first-year comp</t>
  </si>
  <si>
    <t xml:space="preserve">Per-Cohort Economics</t>
  </si>
  <si>
    <t xml:space="preserve">Revenue, cost, and gross margin for a single 100-student cohort</t>
  </si>
  <si>
    <t xml:space="preserve">LINE ITEM</t>
  </si>
  <si>
    <t xml:space="preserve">AMOUNT (INR)</t>
  </si>
  <si>
    <t xml:space="preserve">FORMULA / SOURCE</t>
  </si>
  <si>
    <t xml:space="preserve">REVENUE</t>
  </si>
  <si>
    <t xml:space="preserve">Students enrolled</t>
  </si>
  <si>
    <t xml:space="preserve">From Assumptions</t>
  </si>
  <si>
    <t xml:space="preserve">BuildAI revenue per student</t>
  </si>
  <si>
    <t xml:space="preserve">From Assumptions (student fee minus college margin)</t>
  </si>
  <si>
    <t xml:space="preserve">Total cohort revenue</t>
  </si>
  <si>
    <t xml:space="preserve">Students × revenue per student</t>
  </si>
  <si>
    <t xml:space="preserve">COSTS</t>
  </si>
  <si>
    <t xml:space="preserve">Mentor costs</t>
  </si>
  <si>
    <t xml:space="preserve">Per-pod-week × pods × weeks</t>
  </si>
  <si>
    <t xml:space="preserve">Platform / tool costs</t>
  </si>
  <si>
    <t xml:space="preserve">Anthropic, OpenAI, Vercel, etc.</t>
  </si>
  <si>
    <t xml:space="preserve">Ops / coordination (allocated)</t>
  </si>
  <si>
    <t xml:space="preserve">Allocated India ops cost</t>
  </si>
  <si>
    <t xml:space="preserve">External reviewer honorariums</t>
  </si>
  <si>
    <t xml:space="preserve">Total cohort cost</t>
  </si>
  <si>
    <t xml:space="preserve">GROSS MARGIN</t>
  </si>
  <si>
    <t xml:space="preserve">Gross profit per cohort</t>
  </si>
  <si>
    <t xml:space="preserve">Revenue minus total cost</t>
  </si>
  <si>
    <t xml:space="preserve">Gross margin %</t>
  </si>
  <si>
    <t xml:space="preserve">Gross profit / revenue</t>
  </si>
  <si>
    <t xml:space="preserve">Gross profit per student</t>
  </si>
  <si>
    <t xml:space="preserve">Gross profit / students enrolled</t>
  </si>
  <si>
    <t xml:space="preserve">5-Year Revenue Projection</t>
  </si>
  <si>
    <t xml:space="preserve">Phase 1 (college program) revenue. Phase 2 startup placement modeled separately.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</si>
  <si>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</si>
  <si>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</si>
  <si>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</si>
  <si>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</si>
  <si>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</si>
  <si>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</si>
  <si>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Partner colleges</t>
  </si>
  <si>
    <t xml:space="preserve">Cohorts (colleges × cohorts/year)</t>
  </si>
  <si>
    <t xml:space="preserve">Revenue</t>
  </si>
  <si>
    <t xml:space="preserve">Phase 1 revenue (INR)</t>
  </si>
  <si>
    <t xml:space="preserve">Phase 2 revenue (INR)</t>
  </si>
  <si>
    <t xml:space="preserve">Total revenue (INR)</t>
  </si>
  <si>
    <t xml:space="preserve">Costs</t>
  </si>
  <si>
    <t xml:space="preserve">Phase 1 cohort costs (INR)</t>
  </si>
  <si>
    <t xml:space="preserve">Fixed overhead (founders + central ops, INR)</t>
  </si>
  <si>
    <t xml:space="preserve">Total costs (INR)</t>
  </si>
  <si>
    <t xml:space="preserve">Profitability</t>
  </si>
  <si>
    <t xml:space="preserve">EBITDA (INR)</t>
  </si>
  <si>
    <t xml:space="preserve">EBITDA margin %</t>
  </si>
  <si>
    <t xml:space="preserve">Revenue in ₹ crore (display)</t>
  </si>
  <si>
    <t xml:space="preserve">Phase 2 — Startup Placement Revenue</t>
  </si>
  <si>
    <t xml:space="preserve">Internship placement fees + full-time hiring fees, activated end of Year 1</t>
  </si>
  <si>
    <t xml:space="preserve">Total students enrolled</t>
  </si>
  <si>
    <t xml:space="preserve">Distinction graduates</t>
  </si>
  <si>
    <t xml:space="preserve">Interns placed at startups</t>
  </si>
  <si>
    <t xml:space="preserve">Revenue streams</t>
  </si>
  <si>
    <t xml:space="preserve">Internship placement fee revenue (INR)</t>
  </si>
  <si>
    <t xml:space="preserve">Full-time hires (INR)</t>
  </si>
  <si>
    <t xml:space="preserve">Phase 2 total revenue (INR)</t>
  </si>
  <si>
    <t xml:space="preserve">Phase 2 in ₹ crore (display)</t>
  </si>
  <si>
    <t xml:space="preserve">Sensitivity Analysis</t>
  </si>
  <si>
    <t xml:space="preserve">Per-cohort gross margin at different prices and cohort sizes</t>
  </si>
  <si>
    <t xml:space="preserve">Per-cohort gross margin (INR)</t>
  </si>
  <si>
    <t xml:space="preserve">Price ↓ / Cohort size →</t>
  </si>
  <si>
    <t xml:space="preserve">₹10,000 per student</t>
  </si>
  <si>
    <t xml:space="preserve">₹13,000 per student</t>
  </si>
  <si>
    <t xml:space="preserve">₹16,500 per student</t>
  </si>
  <si>
    <t xml:space="preserve">₹20,000 per student</t>
  </si>
  <si>
    <t xml:space="preserve">₹25,000 per student</t>
  </si>
  <si>
    <t xml:space="preserve">5-year cumulative revenue scenarios</t>
  </si>
  <si>
    <t xml:space="preserve">Scenario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</si>
  <si>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</si>
  <si>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</si>
  <si>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</si>
  <si>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</si>
  <si>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</si>
  <si>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Cumulative ₹cr</t>
  </si>
  <si>
    <t xml:space="preserve">Conservative (slower college acquisition)</t>
  </si>
  <si>
    <t xml:space="preserve">Base case (current assumptions)</t>
  </si>
  <si>
    <t xml:space="preserve">Aggressive (faster network effects)</t>
  </si>
  <si>
    <t xml:space="preserve">Notes</t>
  </si>
  <si>
    <t xml:space="preserve">1. Sensitivity table assumes pods scale with cohort size (1 mentor pod per 12 students).</t>
  </si>
  <si>
    <t xml:space="preserve">2. Base case = current Assumptions sheet values.</t>
  </si>
  <si>
    <t xml:space="preserve">3. Phase 2 revenue (startup placement) excluded from these projections — see Phase 2 tab.</t>
  </si>
  <si>
    <t xml:space="preserve">4. ₹1 crore = ₹10,000,000 = ~$120,000 USD at typical exchange rates.</t>
  </si>
  <si>
    <t xml:space="preserve">Student AI Access — Token Cost Model</t>
  </si>
  <si>
    <t xml:space="preserve">Per-student API spend via OpenRouter, frontier vs cheap models. Blue cells are editable.</t>
  </si>
  <si>
    <t xml:space="preserve">GLOBAL INPUT</t>
  </si>
  <si>
    <t xml:space="preserve">USD → INR exchange rate</t>
  </si>
  <si>
    <t xml:space="preserve">Editable. ~Jun 2026 spot</t>
  </si>
  <si>
    <t xml:space="preserve">MODEL PRICES — USD per 1M tokens (OpenRouter, Jun 2026)</t>
  </si>
  <si>
    <t xml:space="preserve">Model</t>
  </si>
  <si>
    <t xml:space="preserve">Input $/1M</t>
  </si>
  <si>
    <t xml:space="preserve">Output $/1M</t>
  </si>
  <si>
    <t xml:space="preserve">Tier</t>
  </si>
  <si>
    <t xml:space="preserve">Claude Sonnet 4.6</t>
  </si>
  <si>
    <t xml:space="preserve">Frontier</t>
  </si>
  <si>
    <t xml:space="preserve">GPT-5.4</t>
  </si>
  <si>
    <t xml:space="preserve">Gemini 3.5 Flash</t>
  </si>
  <si>
    <t xml:space="preserve">Mid</t>
  </si>
  <si>
    <t xml:space="preserve">Claude Haiku 4.5</t>
  </si>
  <si>
    <t xml:space="preserve">GPT-5.4-mini</t>
  </si>
  <si>
    <t xml:space="preserve">DeepSeek V4-pro</t>
  </si>
  <si>
    <t xml:space="preserve">Cheap / open</t>
  </si>
  <si>
    <t xml:space="preserve">Qwen 3.7-Plus</t>
  </si>
  <si>
    <t xml:space="preserve">MiniMax M2</t>
  </si>
  <si>
    <t xml:space="preserve">DeepSeek V4-flash</t>
  </si>
  <si>
    <t xml:space="preserve">USAGE PER STUDENT — tokens in MILLIONS</t>
  </si>
  <si>
    <t xml:space="preserve">Input (M)</t>
  </si>
  <si>
    <t xml:space="preserve">Output (M)</t>
  </si>
  <si>
    <t xml:space="preserve">Light builder (13 wks)</t>
  </si>
  <si>
    <t xml:space="preserve">Typical builder (13 wks)</t>
  </si>
  <si>
    <t xml:space="preserve">Heavy builder (13 wks)</t>
  </si>
  <si>
    <t xml:space="preserve">Capstone only — full AI product (wks 11-13)</t>
  </si>
  <si>
    <t xml:space="preserve">Dev-time coding assistance dominates; product inference (RAG/agents) folded in. Edit freely.</t>
  </si>
  <si>
    <t xml:space="preserve">PER-STUDENT COST  (Typical 13-wk  vs  Capstone build)</t>
  </si>
  <si>
    <t xml:space="preserve">Typical USD</t>
  </si>
  <si>
    <t xml:space="preserve">Typical INR</t>
  </si>
  <si>
    <t xml:space="preserve">Capstone USD</t>
  </si>
  <si>
    <t xml:space="preserve">Capstone INR</t>
  </si>
  <si>
    <t xml:space="preserve">COHORT &amp; MARGIN IMPACT — 100 students, Typical usage</t>
  </si>
  <si>
    <t xml:space="preserve">Current platform/tool assumption per cohort (INR)</t>
  </si>
  <si>
    <t xml:space="preserve">BuildAI revenue per cohort (INR)</t>
  </si>
  <si>
    <t xml:space="preserve">AI cost per cohort — ALL-FRONTIER (Sonnet)</t>
  </si>
  <si>
    <t xml:space="preserve">AI cost per cohort — ALL-CHEAP (DeepSeek V4-pro)</t>
  </si>
  <si>
    <t xml:space="preserve">AI cost per cohort — cheap + 70% education credits</t>
  </si>
  <si>
    <t xml:space="preserve">Frontier AI cost as % of cohort revenue</t>
  </si>
  <si>
    <t xml:space="preserve">Cheap AI cost as % of cohort revenue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</si>
</sst>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&quot;₹ &quot;* #,##0_-;&quot;-₹ &quot;* #,##0_-;_-&quot;₹ &quot;* \-_-;_-@_-"/>
    <numFmt numFmtId="166" formatCode="#,##0"/>
    <numFmt numFmtId="167" formatCode="0.0%"/>
    <numFmt numFmtId="168" formatCode="0.00"/>
    <numFmt numFmtId="169" formatCode="0.0"/>
    <numFmt numFmtId="170" formatCode="\$#,##0.000"/>
    <numFmt numFmtId="171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2540"/>
      <name val="Arial"/>
      <family val="0"/>
      <charset val="1"/>
    </font>
    <font>
      <i val="true"/>
      <sz val="11"/>
      <color rgb="FF697386"/>
      <name val="Arial"/>
      <family val="0"/>
      <charset val="1"/>
    </font>
    <font>
      <b val="true"/>
      <sz val="12"/>
      <color rgb="FF0A254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A2540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00794D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9E0"/>
        <bgColor rgb="FFF2F2F2"/>
      </patternFill>
    </fill>
    <fill>
      <patternFill patternType="solid">
        <fgColor rgb="FFD9E2F3"/>
        <bgColor rgb="FFDDEBF7"/>
      </patternFill>
    </fill>
    <fill>
      <patternFill patternType="solid">
        <fgColor rgb="FF0A2540"/>
        <bgColor rgb="FF003300"/>
      </patternFill>
    </fill>
    <fill>
      <patternFill patternType="solid">
        <fgColor rgb="FFDAF7EE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2F2F2"/>
        <bgColor rgb="FFFFF9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94D"/>
      <rgbColor rgb="FFD9E2F3"/>
      <rgbColor rgb="FF808080"/>
      <rgbColor rgb="FF9999FF"/>
      <rgbColor rgb="FF993366"/>
      <rgbColor rgb="FFFFF9E0"/>
      <rgbColor rgb="FFDAF7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7386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6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</row>
    <row r="7" customFormat="false" ht="15" hidden="false" customHeight="true" outlineLevel="0" collapsed="false">
      <c r="B7" s="5" t="s">
        <v>4</v>
      </c>
      <c r="C7" s="1" t="s">
        <v>5</v>
      </c>
    </row>
    <row r="8" customFormat="false" ht="15" hidden="false" customHeight="true" outlineLevel="0" collapsed="false">
      <c r="B8" s="6" t="s">
        <v>6</v>
      </c>
      <c r="C8" s="1" t="s">
        <v>7</v>
      </c>
    </row>
    <row r="9" customFormat="false" ht="15" hidden="false" customHeight="true" outlineLevel="0" collapsed="false">
      <c r="B9" s="7" t="s">
        <v>8</v>
      </c>
      <c r="C9" s="1" t="s">
        <v>9</v>
      </c>
    </row>
    <row r="10" customFormat="false" ht="15" hidden="false" customHeight="true" outlineLevel="0" collapsed="false">
      <c r="B10" s="8" t="s">
        <v>10</v>
      </c>
      <c r="C10" s="1" t="s">
        <v>11</v>
      </c>
    </row>
    <row r="12" customFormat="false" ht="15" hidden="false" customHeight="true" outlineLevel="0" collapsed="false">
      <c r="B12" s="4" t="s">
        <v>12</v>
      </c>
    </row>
    <row r="13" customFormat="false" ht="15" hidden="false" customHeight="true" outlineLevel="0" collapsed="false">
      <c r="B13" s="9" t="s">
        <v>13</v>
      </c>
      <c r="C13" s="1" t="s">
        <v>14</v>
      </c>
    </row>
    <row r="14" customFormat="false" ht="15" hidden="false" customHeight="true" outlineLevel="0" collapsed="false">
      <c r="B14" s="9" t="s">
        <v>15</v>
      </c>
      <c r="C14" s="1" t="s">
        <v>16</v>
      </c>
    </row>
    <row r="15" customFormat="false" ht="15" hidden="false" customHeight="true" outlineLevel="0" collapsed="false">
      <c r="B15" s="9" t="s">
        <v>17</v>
      </c>
      <c r="C15" s="1" t="s">
        <v>18</v>
      </c>
    </row>
    <row r="16" customFormat="false" ht="15" hidden="false" customHeight="true" outlineLevel="0" collapsed="false">
      <c r="B16" s="9" t="s">
        <v>19</v>
      </c>
      <c r="C16" s="1" t="s">
        <v>20</v>
      </c>
    </row>
    <row r="17" customFormat="false" ht="15" hidden="false" customHeight="true" outlineLevel="0" collapsed="false">
      <c r="B17" s="9" t="s">
        <v>21</v>
      </c>
      <c r="C17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50"/>
  </cols>
  <sheetData>
    <row r="2" customFormat="false" ht="19.5" hidden="false" customHeight="true" outlineLevel="0" collapsed="false">
      <c r="B2" s="2" t="s">
        <v>13</v>
      </c>
    </row>
    <row r="3" customFormat="false" ht="15" hidden="false" customHeight="true" outlineLevel="0" collapsed="false">
      <c r="B3" s="3" t="s">
        <v>23</v>
      </c>
    </row>
    <row r="5" customFormat="false" ht="15" hidden="false" customHeight="true" outlineLevel="0" collapsed="false">
      <c r="B5" s="10" t="s">
        <v>24</v>
      </c>
      <c r="C5" s="11"/>
      <c r="D5" s="11"/>
    </row>
    <row r="6" customFormat="false" ht="15" hidden="false" customHeight="true" outlineLevel="0" collapsed="false">
      <c r="B6" s="1" t="s">
        <v>25</v>
      </c>
      <c r="C6" s="12" t="n">
        <v>22500</v>
      </c>
      <c r="D6" s="1" t="s">
        <v>26</v>
      </c>
    </row>
    <row r="7" customFormat="false" ht="15" hidden="false" customHeight="true" outlineLevel="0" collapsed="false">
      <c r="B7" s="1" t="s">
        <v>27</v>
      </c>
      <c r="C7" s="12" t="n">
        <v>6000</v>
      </c>
      <c r="D7" s="1" t="s">
        <v>28</v>
      </c>
    </row>
    <row r="8" customFormat="false" ht="15" hidden="false" customHeight="true" outlineLevel="0" collapsed="false">
      <c r="B8" s="1" t="s">
        <v>29</v>
      </c>
      <c r="C8" s="13" t="n">
        <f aca="false">C6-C7</f>
        <v>16500</v>
      </c>
      <c r="D8" s="1" t="s">
        <v>30</v>
      </c>
    </row>
    <row r="10" customFormat="false" ht="15" hidden="false" customHeight="true" outlineLevel="0" collapsed="false">
      <c r="B10" s="10" t="s">
        <v>31</v>
      </c>
      <c r="C10" s="11"/>
      <c r="D10" s="11"/>
    </row>
    <row r="11" customFormat="false" ht="15" hidden="false" customHeight="true" outlineLevel="0" collapsed="false">
      <c r="B11" s="1" t="s">
        <v>32</v>
      </c>
      <c r="C11" s="14" t="n">
        <v>100</v>
      </c>
      <c r="D11" s="1" t="s">
        <v>33</v>
      </c>
    </row>
    <row r="12" customFormat="false" ht="15" hidden="false" customHeight="true" outlineLevel="0" collapsed="false">
      <c r="B12" s="1" t="s">
        <v>34</v>
      </c>
      <c r="C12" s="14" t="n">
        <v>13</v>
      </c>
      <c r="D12" s="1" t="s">
        <v>35</v>
      </c>
    </row>
    <row r="13" customFormat="false" ht="15" hidden="false" customHeight="true" outlineLevel="0" collapsed="false">
      <c r="B13" s="1" t="s">
        <v>36</v>
      </c>
      <c r="C13" s="14" t="n">
        <v>4</v>
      </c>
      <c r="D13" s="1" t="s">
        <v>37</v>
      </c>
    </row>
    <row r="14" customFormat="false" ht="15" hidden="false" customHeight="true" outlineLevel="0" collapsed="false">
      <c r="B14" s="1" t="s">
        <v>38</v>
      </c>
      <c r="C14" s="15" t="n">
        <f aca="false">C11/C13</f>
        <v>25</v>
      </c>
      <c r="D14" s="1" t="s">
        <v>39</v>
      </c>
    </row>
    <row r="15" customFormat="false" ht="15" hidden="false" customHeight="true" outlineLevel="0" collapsed="false">
      <c r="B15" s="1" t="s">
        <v>40</v>
      </c>
      <c r="C15" s="14" t="n">
        <v>2</v>
      </c>
      <c r="D15" s="1" t="s">
        <v>41</v>
      </c>
    </row>
    <row r="17" customFormat="false" ht="15" hidden="false" customHeight="true" outlineLevel="0" collapsed="false">
      <c r="B17" s="10" t="s">
        <v>42</v>
      </c>
      <c r="C17" s="11"/>
      <c r="D17" s="11"/>
    </row>
    <row r="18" customFormat="false" ht="15" hidden="false" customHeight="true" outlineLevel="0" collapsed="false">
      <c r="B18" s="1" t="s">
        <v>43</v>
      </c>
      <c r="C18" s="12" t="n">
        <v>15000</v>
      </c>
      <c r="D18" s="1" t="s">
        <v>44</v>
      </c>
    </row>
    <row r="19" customFormat="false" ht="15" hidden="false" customHeight="true" outlineLevel="0" collapsed="false">
      <c r="B19" s="1" t="s">
        <v>45</v>
      </c>
      <c r="C19" s="13" t="n">
        <f aca="false">C18*C13*C12</f>
        <v>780000</v>
      </c>
      <c r="D19" s="1" t="s">
        <v>46</v>
      </c>
    </row>
    <row r="20" customFormat="false" ht="15" hidden="false" customHeight="true" outlineLevel="0" collapsed="false">
      <c r="B20" s="1" t="s">
        <v>47</v>
      </c>
      <c r="C20" s="12" t="n">
        <v>50000</v>
      </c>
      <c r="D20" s="1" t="s">
        <v>48</v>
      </c>
    </row>
    <row r="21" customFormat="false" ht="15" hidden="false" customHeight="true" outlineLevel="0" collapsed="false">
      <c r="B21" s="1" t="s">
        <v>49</v>
      </c>
      <c r="C21" s="12" t="n">
        <v>40000</v>
      </c>
      <c r="D21" s="1" t="s">
        <v>50</v>
      </c>
    </row>
    <row r="22" customFormat="false" ht="15" hidden="false" customHeight="true" outlineLevel="0" collapsed="false">
      <c r="B22" s="1" t="s">
        <v>51</v>
      </c>
      <c r="C22" s="12" t="n">
        <v>100000</v>
      </c>
      <c r="D22" s="1" t="s">
        <v>52</v>
      </c>
    </row>
    <row r="23" customFormat="false" ht="15" hidden="false" customHeight="true" outlineLevel="0" collapsed="false">
      <c r="B23" s="1" t="s">
        <v>53</v>
      </c>
      <c r="C23" s="13" t="n">
        <f aca="false">C19+C20+C21+C22</f>
        <v>970000</v>
      </c>
      <c r="D23" s="1" t="s">
        <v>54</v>
      </c>
    </row>
    <row r="25" customFormat="false" ht="15" hidden="false" customHeight="true" outlineLevel="0" collapsed="false">
      <c r="B25" s="10" t="s">
        <v>55</v>
      </c>
      <c r="C25" s="11"/>
      <c r="D25" s="11"/>
    </row>
    <row r="26" customFormat="false" ht="15" hidden="false" customHeight="true" outlineLevel="0" collapsed="false">
      <c r="B26" s="1" t="s">
        <v>56</v>
      </c>
      <c r="C26" s="14" t="n">
        <v>3</v>
      </c>
      <c r="D26" s="1" t="s">
        <v>57</v>
      </c>
    </row>
    <row r="27" customFormat="false" ht="15" hidden="false" customHeight="true" outlineLevel="0" collapsed="false">
      <c r="B27" s="1" t="s">
        <v>58</v>
      </c>
      <c r="C27" s="14" t="n">
        <v>8</v>
      </c>
      <c r="D27" s="1" t="s">
        <v>59</v>
      </c>
    </row>
    <row r="28" customFormat="false" ht="15" hidden="false" customHeight="true" outlineLevel="0" collapsed="false">
      <c r="B28" s="1" t="s">
        <v>60</v>
      </c>
      <c r="C28" s="14" t="n">
        <v>20</v>
      </c>
      <c r="D28" s="1" t="s">
        <v>61</v>
      </c>
    </row>
    <row r="29" customFormat="false" ht="15" hidden="false" customHeight="true" outlineLevel="0" collapsed="false">
      <c r="B29" s="1" t="s">
        <v>62</v>
      </c>
      <c r="C29" s="14" t="n">
        <v>40</v>
      </c>
      <c r="D29" s="1" t="s">
        <v>63</v>
      </c>
    </row>
    <row r="30" customFormat="false" ht="15" hidden="false" customHeight="true" outlineLevel="0" collapsed="false">
      <c r="B30" s="1" t="s">
        <v>64</v>
      </c>
      <c r="C30" s="14" t="n">
        <v>70</v>
      </c>
      <c r="D30" s="1" t="s">
        <v>65</v>
      </c>
    </row>
    <row r="32" customFormat="false" ht="15" hidden="false" customHeight="true" outlineLevel="0" collapsed="false">
      <c r="B32" s="10" t="s">
        <v>66</v>
      </c>
      <c r="C32" s="11"/>
      <c r="D32" s="11"/>
    </row>
    <row r="33" customFormat="false" ht="15" hidden="false" customHeight="true" outlineLevel="0" collapsed="false">
      <c r="B33" s="1" t="s">
        <v>67</v>
      </c>
      <c r="C33" s="16" t="n">
        <v>0.12</v>
      </c>
      <c r="D33" s="1" t="s">
        <v>68</v>
      </c>
    </row>
    <row r="34" customFormat="false" ht="15" hidden="false" customHeight="true" outlineLevel="0" collapsed="false">
      <c r="B34" s="1" t="s">
        <v>69</v>
      </c>
      <c r="C34" s="16" t="n">
        <v>0.5</v>
      </c>
      <c r="D34" s="1" t="s">
        <v>70</v>
      </c>
    </row>
    <row r="35" customFormat="false" ht="15" hidden="false" customHeight="true" outlineLevel="0" collapsed="false">
      <c r="B35" s="1" t="s">
        <v>71</v>
      </c>
      <c r="C35" s="12" t="n">
        <v>35000</v>
      </c>
      <c r="D35" s="1" t="s">
        <v>72</v>
      </c>
    </row>
    <row r="36" customFormat="false" ht="15" hidden="false" customHeight="true" outlineLevel="0" collapsed="false">
      <c r="B36" s="1" t="s">
        <v>73</v>
      </c>
      <c r="C36" s="16" t="n">
        <v>0.3</v>
      </c>
      <c r="D36" s="1" t="s">
        <v>74</v>
      </c>
    </row>
    <row r="37" customFormat="false" ht="15" hidden="false" customHeight="true" outlineLevel="0" collapsed="false">
      <c r="B37" s="1" t="s">
        <v>75</v>
      </c>
      <c r="C37" s="12" t="n">
        <v>1500000</v>
      </c>
      <c r="D37" s="1" t="s">
        <v>76</v>
      </c>
    </row>
    <row r="38" customFormat="false" ht="15" hidden="false" customHeight="true" outlineLevel="0" collapsed="false">
      <c r="B38" s="1" t="s">
        <v>77</v>
      </c>
      <c r="C38" s="16" t="n">
        <v>0.1</v>
      </c>
      <c r="D38" s="1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5"/>
    <col collapsed="false" customWidth="true" hidden="false" outlineLevel="0" max="3" min="3" style="1" width="20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79</v>
      </c>
    </row>
    <row r="3" customFormat="false" ht="15" hidden="false" customHeight="true" outlineLevel="0" collapsed="false">
      <c r="B3" s="3" t="s">
        <v>80</v>
      </c>
    </row>
    <row r="5" customFormat="false" ht="15" hidden="false" customHeight="true" outlineLevel="0" collapsed="false">
      <c r="B5" s="17" t="s">
        <v>81</v>
      </c>
      <c r="C5" s="18" t="s">
        <v>82</v>
      </c>
      <c r="D5" s="19" t="s">
        <v>83</v>
      </c>
    </row>
    <row r="6" customFormat="false" ht="15" hidden="false" customHeight="true" outlineLevel="0" collapsed="false">
      <c r="B6" s="10" t="s">
        <v>84</v>
      </c>
      <c r="C6" s="11"/>
      <c r="D6" s="11"/>
    </row>
    <row r="7" customFormat="false" ht="15" hidden="false" customHeight="true" outlineLevel="0" collapsed="false">
      <c r="B7" s="1" t="s">
        <v>85</v>
      </c>
      <c r="C7" s="20" t="n">
        <f aca="false">Assumptions!C11</f>
        <v>100</v>
      </c>
      <c r="D7" s="1" t="s">
        <v>86</v>
      </c>
    </row>
    <row r="8" customFormat="false" ht="15" hidden="false" customHeight="true" outlineLevel="0" collapsed="false">
      <c r="B8" s="1" t="s">
        <v>87</v>
      </c>
      <c r="C8" s="21" t="n">
        <f aca="false">Assumptions!C8</f>
        <v>16500</v>
      </c>
      <c r="D8" s="1" t="s">
        <v>88</v>
      </c>
    </row>
    <row r="9" customFormat="false" ht="15" hidden="false" customHeight="true" outlineLevel="0" collapsed="false">
      <c r="B9" s="1" t="s">
        <v>89</v>
      </c>
      <c r="C9" s="22" t="n">
        <f aca="false">C7*C8</f>
        <v>1650000</v>
      </c>
      <c r="D9" s="1" t="s">
        <v>90</v>
      </c>
    </row>
    <row r="11" customFormat="false" ht="15" hidden="false" customHeight="true" outlineLevel="0" collapsed="false">
      <c r="B11" s="10" t="s">
        <v>91</v>
      </c>
      <c r="C11" s="11"/>
      <c r="D11" s="11"/>
    </row>
    <row r="12" customFormat="false" ht="15" hidden="false" customHeight="true" outlineLevel="0" collapsed="false">
      <c r="B12" s="1" t="s">
        <v>92</v>
      </c>
      <c r="C12" s="21" t="n">
        <f aca="false">Assumptions!C19</f>
        <v>780000</v>
      </c>
      <c r="D12" s="1" t="s">
        <v>93</v>
      </c>
    </row>
    <row r="13" customFormat="false" ht="15" hidden="false" customHeight="true" outlineLevel="0" collapsed="false">
      <c r="B13" s="1" t="s">
        <v>94</v>
      </c>
      <c r="C13" s="21" t="n">
        <f aca="false">Assumptions!C20</f>
        <v>50000</v>
      </c>
      <c r="D13" s="1" t="s">
        <v>95</v>
      </c>
    </row>
    <row r="14" customFormat="false" ht="15" hidden="false" customHeight="true" outlineLevel="0" collapsed="false">
      <c r="B14" s="1" t="s">
        <v>96</v>
      </c>
      <c r="C14" s="21" t="n">
        <f aca="false">Assumptions!C22</f>
        <v>100000</v>
      </c>
      <c r="D14" s="1" t="s">
        <v>97</v>
      </c>
    </row>
    <row r="15" customFormat="false" ht="15" hidden="false" customHeight="true" outlineLevel="0" collapsed="false">
      <c r="B15" s="1" t="s">
        <v>98</v>
      </c>
      <c r="C15" s="21" t="n">
        <f aca="false">Assumptions!C21</f>
        <v>40000</v>
      </c>
      <c r="D15" s="1" t="s">
        <v>50</v>
      </c>
    </row>
    <row r="16" customFormat="false" ht="15" hidden="false" customHeight="true" outlineLevel="0" collapsed="false">
      <c r="B16" s="1" t="s">
        <v>99</v>
      </c>
      <c r="C16" s="23" t="n">
        <f aca="false">SUM(C12:C15)</f>
        <v>970000</v>
      </c>
      <c r="D16" s="1" t="s">
        <v>54</v>
      </c>
    </row>
    <row r="18" customFormat="false" ht="15" hidden="false" customHeight="true" outlineLevel="0" collapsed="false">
      <c r="B18" s="10" t="s">
        <v>100</v>
      </c>
      <c r="C18" s="11"/>
      <c r="D18" s="11"/>
    </row>
    <row r="19" customFormat="false" ht="15" hidden="false" customHeight="true" outlineLevel="0" collapsed="false">
      <c r="B19" s="1" t="s">
        <v>101</v>
      </c>
      <c r="C19" s="22" t="n">
        <f aca="false">C9-C16</f>
        <v>680000</v>
      </c>
      <c r="D19" s="1" t="s">
        <v>102</v>
      </c>
    </row>
    <row r="20" customFormat="false" ht="15" hidden="false" customHeight="true" outlineLevel="0" collapsed="false">
      <c r="B20" s="1" t="s">
        <v>103</v>
      </c>
      <c r="C20" s="24" t="n">
        <f aca="false">C19/C9</f>
        <v>0.412121212121212</v>
      </c>
      <c r="D20" s="1" t="s">
        <v>104</v>
      </c>
    </row>
    <row r="21" customFormat="false" ht="15" hidden="false" customHeight="true" outlineLevel="0" collapsed="false">
      <c r="B21" s="1" t="s">
        <v>105</v>
      </c>
      <c r="C21" s="25" t="n">
        <f aca="false">C19/C7</f>
        <v>6800</v>
      </c>
      <c r="D21" s="1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107</v>
      </c>
    </row>
    <row r="3" customFormat="false" ht="15" hidden="false" customHeight="true" outlineLevel="0" collapsed="false">
      <c r="B3" s="3" t="s">
        <v>108</v>
      </c>
    </row>
    <row r="5" customFormat="false" ht="15" hidden="false" customHeight="true" outlineLevel="0" collapsed="false">
      <c r="B5" s="19" t="s">
        <v>109</v>
      </c>
      <c r="C5" s="26" t="s">
        <v>110</v>
      </c>
      <c r="D5" s="26" t="s">
        <v>111</v>
      </c>
      <c r="E5" s="26" t="s">
        <v>112</v>
      </c>
      <c r="F5" s="26" t="s">
        <v>113</v>
      </c>
      <c r="G5" s="26" t="s">
        <v>114</v>
      </c>
    </row>
    <row r="6" customFormat="false" ht="15" hidden="false" customHeight="true" outlineLevel="0" collapsed="false">
      <c r="B6" s="1" t="s">
        <v>115</v>
      </c>
      <c r="C6" s="27" t="n">
        <f aca="false">Assumptions!C26</f>
        <v>3</v>
      </c>
      <c r="D6" s="27" t="n">
        <f aca="false">Assumptions!C27</f>
        <v>8</v>
      </c>
      <c r="E6" s="27" t="n">
        <f aca="false">Assumptions!C28</f>
        <v>20</v>
      </c>
      <c r="F6" s="27" t="n">
        <f aca="false">Assumptions!C29</f>
        <v>40</v>
      </c>
      <c r="G6" s="27" t="n">
        <f aca="false">Assumptions!C30</f>
        <v>70</v>
      </c>
    </row>
    <row r="7" customFormat="false" ht="15" hidden="false" customHeight="true" outlineLevel="0" collapsed="false">
      <c r="B7" s="1" t="s">
        <v>116</v>
      </c>
      <c r="C7" s="28" t="n">
        <f aca="false">C6*Assumptions!C15</f>
        <v>6</v>
      </c>
      <c r="D7" s="28" t="n">
        <f aca="false">D6*Assumptions!C15</f>
        <v>16</v>
      </c>
      <c r="E7" s="28" t="n">
        <f aca="false">E6*Assumptions!C15</f>
        <v>40</v>
      </c>
      <c r="F7" s="28" t="n">
        <f aca="false">F6*Assumptions!C15</f>
        <v>80</v>
      </c>
      <c r="G7" s="28" t="n">
        <f aca="false">G6*Assumptions!C15</f>
        <v>140</v>
      </c>
    </row>
    <row r="8" customFormat="false" ht="15" hidden="false" customHeight="true" outlineLevel="0" collapsed="false">
      <c r="B8" s="1" t="s">
        <v>85</v>
      </c>
      <c r="C8" s="28" t="n">
        <f aca="false">C7*Assumptions!C11</f>
        <v>600</v>
      </c>
      <c r="D8" s="28" t="n">
        <f aca="false">D7*Assumptions!C11</f>
        <v>1600</v>
      </c>
      <c r="E8" s="28" t="n">
        <f aca="false">E7*Assumptions!C11</f>
        <v>4000</v>
      </c>
      <c r="F8" s="28" t="n">
        <f aca="false">F7*Assumptions!C11</f>
        <v>8000</v>
      </c>
      <c r="G8" s="28" t="n">
        <f aca="false">G7*Assumptions!C11</f>
        <v>14000</v>
      </c>
    </row>
    <row r="10" customFormat="false" ht="15" hidden="false" customHeight="true" outlineLevel="0" collapsed="false">
      <c r="B10" s="10" t="s">
        <v>117</v>
      </c>
    </row>
    <row r="11" customFormat="false" ht="15" hidden="false" customHeight="true" outlineLevel="0" collapsed="false">
      <c r="B11" s="1" t="s">
        <v>118</v>
      </c>
      <c r="C11" s="25" t="n">
        <f aca="false">C8*Assumptions!C8</f>
        <v>9900000</v>
      </c>
      <c r="D11" s="25" t="n">
        <f aca="false">D8*Assumptions!C8</f>
        <v>26400000</v>
      </c>
      <c r="E11" s="25" t="n">
        <f aca="false">E8*Assumptions!C8</f>
        <v>66000000</v>
      </c>
      <c r="F11" s="25" t="n">
        <f aca="false">F8*Assumptions!C8</f>
        <v>132000000</v>
      </c>
      <c r="G11" s="25" t="n">
        <f aca="false">G8*Assumptions!C8</f>
        <v>231000000</v>
      </c>
    </row>
    <row r="12" customFormat="false" ht="15" hidden="false" customHeight="true" outlineLevel="0" collapsed="false">
      <c r="B12" s="1" t="s">
        <v>119</v>
      </c>
      <c r="C12" s="21" t="n">
        <f aca="false">'Phase 2'!C13*0.5</f>
        <v>1440000</v>
      </c>
      <c r="D12" s="21" t="n">
        <f aca="false">'Phase 2'!D13</f>
        <v>7680000</v>
      </c>
      <c r="E12" s="21" t="n">
        <f aca="false">'Phase 2'!E13</f>
        <v>19200000</v>
      </c>
      <c r="F12" s="21" t="n">
        <f aca="false">'Phase 2'!F13</f>
        <v>38400000</v>
      </c>
      <c r="G12" s="21" t="n">
        <f aca="false">'Phase 2'!G13</f>
        <v>67200000</v>
      </c>
    </row>
    <row r="13" customFormat="false" ht="15" hidden="false" customHeight="true" outlineLevel="0" collapsed="false">
      <c r="B13" s="1" t="s">
        <v>120</v>
      </c>
      <c r="C13" s="22" t="n">
        <f aca="false">C11+C12</f>
        <v>11340000</v>
      </c>
      <c r="D13" s="22" t="n">
        <f aca="false">D11+D12</f>
        <v>34080000</v>
      </c>
      <c r="E13" s="22" t="n">
        <f aca="false">E11+E12</f>
        <v>85200000</v>
      </c>
      <c r="F13" s="22" t="n">
        <f aca="false">F11+F12</f>
        <v>170400000</v>
      </c>
      <c r="G13" s="22" t="n">
        <f aca="false">G11+G12</f>
        <v>298200000</v>
      </c>
    </row>
    <row r="15" customFormat="false" ht="15" hidden="false" customHeight="true" outlineLevel="0" collapsed="false">
      <c r="B15" s="10" t="s">
        <v>121</v>
      </c>
    </row>
    <row r="16" customFormat="false" ht="15" hidden="false" customHeight="true" outlineLevel="0" collapsed="false">
      <c r="B16" s="1" t="s">
        <v>122</v>
      </c>
      <c r="C16" s="25" t="n">
        <f aca="false">C7*Assumptions!C23</f>
        <v>5820000</v>
      </c>
      <c r="D16" s="25" t="n">
        <f aca="false">D7*Assumptions!C23</f>
        <v>15520000</v>
      </c>
      <c r="E16" s="25" t="n">
        <f aca="false">E7*Assumptions!C23</f>
        <v>38800000</v>
      </c>
      <c r="F16" s="25" t="n">
        <f aca="false">F7*Assumptions!C23</f>
        <v>77600000</v>
      </c>
      <c r="G16" s="25" t="n">
        <f aca="false">G7*Assumptions!C23</f>
        <v>135800000</v>
      </c>
    </row>
    <row r="17" customFormat="false" ht="15" hidden="false" customHeight="true" outlineLevel="0" collapsed="false">
      <c r="B17" s="1" t="s">
        <v>123</v>
      </c>
      <c r="C17" s="12" t="n">
        <v>3000000</v>
      </c>
      <c r="D17" s="12" t="n">
        <v>6000000</v>
      </c>
      <c r="E17" s="12" t="n">
        <v>12000000</v>
      </c>
      <c r="F17" s="12" t="n">
        <v>20000000</v>
      </c>
      <c r="G17" s="12" t="n">
        <v>30000000</v>
      </c>
    </row>
    <row r="18" customFormat="false" ht="15" hidden="false" customHeight="true" outlineLevel="0" collapsed="false">
      <c r="B18" s="1" t="s">
        <v>124</v>
      </c>
      <c r="C18" s="29" t="n">
        <f aca="false">C16+C17</f>
        <v>8820000</v>
      </c>
      <c r="D18" s="29" t="n">
        <f aca="false">D16+D17</f>
        <v>21520000</v>
      </c>
      <c r="E18" s="29" t="n">
        <f aca="false">E16+E17</f>
        <v>50800000</v>
      </c>
      <c r="F18" s="29" t="n">
        <f aca="false">F16+F17</f>
        <v>97600000</v>
      </c>
      <c r="G18" s="29" t="n">
        <f aca="false">G16+G17</f>
        <v>165800000</v>
      </c>
    </row>
    <row r="20" customFormat="false" ht="15" hidden="false" customHeight="true" outlineLevel="0" collapsed="false">
      <c r="B20" s="10" t="s">
        <v>125</v>
      </c>
    </row>
    <row r="21" customFormat="false" ht="15" hidden="false" customHeight="true" outlineLevel="0" collapsed="false">
      <c r="B21" s="1" t="s">
        <v>126</v>
      </c>
      <c r="C21" s="22" t="n">
        <f aca="false">C13-C18</f>
        <v>2520000</v>
      </c>
      <c r="D21" s="22" t="n">
        <f aca="false">D13-D18</f>
        <v>12560000</v>
      </c>
      <c r="E21" s="22" t="n">
        <f aca="false">E13-E18</f>
        <v>34400000</v>
      </c>
      <c r="F21" s="22" t="n">
        <f aca="false">F13-F18</f>
        <v>72800000</v>
      </c>
      <c r="G21" s="22" t="n">
        <f aca="false">G13-G18</f>
        <v>132400000</v>
      </c>
    </row>
    <row r="22" customFormat="false" ht="15" hidden="false" customHeight="true" outlineLevel="0" collapsed="false">
      <c r="B22" s="1" t="s">
        <v>127</v>
      </c>
      <c r="C22" s="30" t="n">
        <f aca="false">IFERROR(C21/C13,0)</f>
        <v>0.222222222222222</v>
      </c>
      <c r="D22" s="30" t="n">
        <f aca="false">IFERROR(D21/D13,0)</f>
        <v>0.368544600938967</v>
      </c>
      <c r="E22" s="30" t="n">
        <f aca="false">IFERROR(E21/E13,0)</f>
        <v>0.403755868544601</v>
      </c>
      <c r="F22" s="30" t="n">
        <f aca="false">IFERROR(F21/F13,0)</f>
        <v>0.427230046948357</v>
      </c>
      <c r="G22" s="30" t="n">
        <f aca="false">IFERROR(G21/G13,0)</f>
        <v>0.443997317236754</v>
      </c>
    </row>
    <row r="24" customFormat="false" ht="15" hidden="false" customHeight="true" outlineLevel="0" collapsed="false">
      <c r="B24" s="1" t="s">
        <v>128</v>
      </c>
      <c r="C24" s="31" t="n">
        <f aca="false">C13/10000000</f>
        <v>1.134</v>
      </c>
      <c r="D24" s="31" t="n">
        <f aca="false">D13/10000000</f>
        <v>3.408</v>
      </c>
      <c r="E24" s="31" t="n">
        <f aca="false">E13/10000000</f>
        <v>8.52</v>
      </c>
      <c r="F24" s="31" t="n">
        <f aca="false">F13/10000000</f>
        <v>17.04</v>
      </c>
      <c r="G24" s="31" t="n">
        <f aca="false">G13/10000000</f>
        <v>29.82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5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129</v>
      </c>
    </row>
    <row r="3" customFormat="false" ht="15" hidden="false" customHeight="true" outlineLevel="0" collapsed="false">
      <c r="B3" s="3" t="s">
        <v>130</v>
      </c>
    </row>
    <row r="5" customFormat="false" ht="15" hidden="false" customHeight="true" outlineLevel="0" collapsed="false">
      <c r="B5" s="19" t="s">
        <v>109</v>
      </c>
      <c r="C5" s="26" t="s">
        <v>110</v>
      </c>
      <c r="D5" s="26" t="s">
        <v>111</v>
      </c>
      <c r="E5" s="26" t="s">
        <v>112</v>
      </c>
      <c r="F5" s="26" t="s">
        <v>113</v>
      </c>
      <c r="G5" s="26" t="s">
        <v>114</v>
      </c>
    </row>
    <row r="6" customFormat="false" ht="15" hidden="false" customHeight="true" outlineLevel="0" collapsed="false">
      <c r="B6" s="1" t="s">
        <v>131</v>
      </c>
      <c r="C6" s="20" t="n">
        <f aca="false">'Multi-Year'!C8</f>
        <v>600</v>
      </c>
      <c r="D6" s="20" t="n">
        <f aca="false">'Multi-Year'!D8</f>
        <v>1600</v>
      </c>
      <c r="E6" s="20" t="n">
        <f aca="false">'Multi-Year'!E8</f>
        <v>4000</v>
      </c>
      <c r="F6" s="20" t="n">
        <f aca="false">'Multi-Year'!F8</f>
        <v>8000</v>
      </c>
      <c r="G6" s="20" t="n">
        <f aca="false">'Multi-Year'!G8</f>
        <v>14000</v>
      </c>
    </row>
    <row r="7" customFormat="false" ht="15" hidden="false" customHeight="true" outlineLevel="0" collapsed="false">
      <c r="B7" s="1" t="s">
        <v>132</v>
      </c>
      <c r="C7" s="32" t="n">
        <f aca="false">C6*Assumptions!C33</f>
        <v>72</v>
      </c>
      <c r="D7" s="32" t="n">
        <f aca="false">D6*Assumptions!C33</f>
        <v>192</v>
      </c>
      <c r="E7" s="32" t="n">
        <f aca="false">E6*Assumptions!C33</f>
        <v>480</v>
      </c>
      <c r="F7" s="32" t="n">
        <f aca="false">F6*Assumptions!C33</f>
        <v>960</v>
      </c>
      <c r="G7" s="32" t="n">
        <f aca="false">G6*Assumptions!C33</f>
        <v>1680</v>
      </c>
    </row>
    <row r="8" customFormat="false" ht="15" hidden="false" customHeight="true" outlineLevel="0" collapsed="false">
      <c r="B8" s="1" t="s">
        <v>133</v>
      </c>
      <c r="C8" s="32" t="n">
        <f aca="false">C7*Assumptions!C34</f>
        <v>36</v>
      </c>
      <c r="D8" s="32" t="n">
        <f aca="false">D7*Assumptions!C34</f>
        <v>96</v>
      </c>
      <c r="E8" s="32" t="n">
        <f aca="false">E7*Assumptions!C34</f>
        <v>240</v>
      </c>
      <c r="F8" s="32" t="n">
        <f aca="false">F7*Assumptions!C34</f>
        <v>480</v>
      </c>
      <c r="G8" s="32" t="n">
        <f aca="false">G7*Assumptions!C34</f>
        <v>840</v>
      </c>
    </row>
    <row r="10" customFormat="false" ht="15" hidden="false" customHeight="true" outlineLevel="0" collapsed="false">
      <c r="B10" s="10" t="s">
        <v>134</v>
      </c>
    </row>
    <row r="11" customFormat="false" ht="15" hidden="false" customHeight="true" outlineLevel="0" collapsed="false">
      <c r="B11" s="1" t="s">
        <v>135</v>
      </c>
      <c r="C11" s="25" t="n">
        <f aca="false">C8*Assumptions!C35</f>
        <v>1260000</v>
      </c>
      <c r="D11" s="25" t="n">
        <f aca="false">D8*Assumptions!C35</f>
        <v>3360000</v>
      </c>
      <c r="E11" s="25" t="n">
        <f aca="false">E8*Assumptions!C35</f>
        <v>8400000</v>
      </c>
      <c r="F11" s="25" t="n">
        <f aca="false">F8*Assumptions!C35</f>
        <v>16800000</v>
      </c>
      <c r="G11" s="25" t="n">
        <f aca="false">G8*Assumptions!C35</f>
        <v>29400000</v>
      </c>
    </row>
    <row r="12" customFormat="false" ht="15" hidden="false" customHeight="true" outlineLevel="0" collapsed="false">
      <c r="B12" s="1" t="s">
        <v>136</v>
      </c>
      <c r="C12" s="25" t="n">
        <f aca="false">C8*Assumptions!C36*Assumptions!C37*Assumptions!C38</f>
        <v>1620000</v>
      </c>
      <c r="D12" s="25" t="n">
        <f aca="false">D8*Assumptions!C36*Assumptions!C37*Assumptions!C38</f>
        <v>4320000</v>
      </c>
      <c r="E12" s="25" t="n">
        <f aca="false">E8*Assumptions!C36*Assumptions!C37*Assumptions!C38</f>
        <v>10800000</v>
      </c>
      <c r="F12" s="25" t="n">
        <f aca="false">F8*Assumptions!C36*Assumptions!C37*Assumptions!C38</f>
        <v>21600000</v>
      </c>
      <c r="G12" s="25" t="n">
        <f aca="false">G8*Assumptions!C36*Assumptions!C37*Assumptions!C38</f>
        <v>37800000</v>
      </c>
    </row>
    <row r="13" customFormat="false" ht="15" hidden="false" customHeight="true" outlineLevel="0" collapsed="false">
      <c r="B13" s="1" t="s">
        <v>137</v>
      </c>
      <c r="C13" s="22" t="n">
        <f aca="false">C11+C12</f>
        <v>2880000</v>
      </c>
      <c r="D13" s="22" t="n">
        <f aca="false">D11+D12</f>
        <v>7680000</v>
      </c>
      <c r="E13" s="22" t="n">
        <f aca="false">E11+E12</f>
        <v>19200000</v>
      </c>
      <c r="F13" s="22" t="n">
        <f aca="false">F11+F12</f>
        <v>38400000</v>
      </c>
      <c r="G13" s="22" t="n">
        <f aca="false">G11+G12</f>
        <v>67200000</v>
      </c>
    </row>
    <row r="15" customFormat="false" ht="15" hidden="false" customHeight="true" outlineLevel="0" collapsed="false">
      <c r="B15" s="1" t="s">
        <v>138</v>
      </c>
      <c r="C15" s="31" t="n">
        <f aca="false">C13/10000000</f>
        <v>0.288</v>
      </c>
      <c r="D15" s="31" t="n">
        <f aca="false">D13/10000000</f>
        <v>0.768</v>
      </c>
      <c r="E15" s="31" t="n">
        <f aca="false">E13/10000000</f>
        <v>1.92</v>
      </c>
      <c r="F15" s="31" t="n">
        <f aca="false">F13/10000000</f>
        <v>3.84</v>
      </c>
      <c r="G15" s="31" t="n">
        <f aca="false">G13/10000000</f>
        <v>6.72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9" min="3" style="1" width="14"/>
  </cols>
  <sheetData>
    <row r="2" customFormat="false" ht="19.5" hidden="false" customHeight="true" outlineLevel="0" collapsed="false">
      <c r="B2" s="2" t="s">
        <v>139</v>
      </c>
    </row>
    <row r="3" customFormat="false" ht="15" hidden="false" customHeight="true" outlineLevel="0" collapsed="false">
      <c r="B3" s="3" t="s">
        <v>140</v>
      </c>
    </row>
    <row r="5" customFormat="false" ht="15" hidden="false" customHeight="true" outlineLevel="0" collapsed="false">
      <c r="B5" s="10" t="s">
        <v>141</v>
      </c>
    </row>
    <row r="7" customFormat="false" ht="15" hidden="false" customHeight="true" outlineLevel="0" collapsed="false">
      <c r="B7" s="33" t="s">
        <v>142</v>
      </c>
      <c r="C7" s="34" t="n">
        <v>30</v>
      </c>
      <c r="D7" s="34" t="n">
        <v>50</v>
      </c>
      <c r="E7" s="34" t="n">
        <v>75</v>
      </c>
      <c r="F7" s="34" t="n">
        <v>100</v>
      </c>
      <c r="G7" s="34" t="n">
        <v>125</v>
      </c>
      <c r="H7" s="34" t="n">
        <v>150</v>
      </c>
    </row>
    <row r="8" customFormat="false" ht="15" hidden="false" customHeight="true" outlineLevel="0" collapsed="false">
      <c r="B8" s="35" t="s">
        <v>143</v>
      </c>
      <c r="C8" s="25" t="n">
        <f aca="false">30*10000-(CEILING(30/25,1)*Assumptions!C18*Assumptions!C12+Assumptions!C20+Assumptions!C21+Assumptions!C22)</f>
        <v>-280000</v>
      </c>
      <c r="D8" s="25" t="n">
        <f aca="false">50*10000-(CEILING(50/25,1)*Assumptions!C18*Assumptions!C12+Assumptions!C20+Assumptions!C21+Assumptions!C22)</f>
        <v>-80000</v>
      </c>
      <c r="E8" s="25" t="n">
        <f aca="false">75*10000-(CEILING(75/25,1)*Assumptions!C18*Assumptions!C12+Assumptions!C20+Assumptions!C21+Assumptions!C22)</f>
        <v>-25000</v>
      </c>
      <c r="F8" s="25" t="n">
        <f aca="false">100*10000-(CEILING(100/25,1)*Assumptions!C18*Assumptions!C12+Assumptions!C20+Assumptions!C21+Assumptions!C22)</f>
        <v>30000</v>
      </c>
      <c r="G8" s="25" t="n">
        <f aca="false">125*10000-(CEILING(125/25,1)*Assumptions!C18*Assumptions!C12+Assumptions!C20+Assumptions!C21+Assumptions!C22)</f>
        <v>85000</v>
      </c>
      <c r="H8" s="25" t="n">
        <f aca="false">150*10000-(CEILING(150/25,1)*Assumptions!C18*Assumptions!C12+Assumptions!C20+Assumptions!C21+Assumptions!C22)</f>
        <v>140000</v>
      </c>
    </row>
    <row r="9" customFormat="false" ht="15" hidden="false" customHeight="true" outlineLevel="0" collapsed="false">
      <c r="B9" s="35" t="s">
        <v>144</v>
      </c>
      <c r="C9" s="25" t="n">
        <f aca="false">30*13000-(CEILING(30/25,1)*Assumptions!C18*Assumptions!C12+Assumptions!C20+Assumptions!C21+Assumptions!C22)</f>
        <v>-190000</v>
      </c>
      <c r="D9" s="25" t="n">
        <f aca="false">50*13000-(CEILING(50/25,1)*Assumptions!C18*Assumptions!C12+Assumptions!C20+Assumptions!C21+Assumptions!C22)</f>
        <v>70000</v>
      </c>
      <c r="E9" s="25" t="n">
        <f aca="false">75*13000-(CEILING(75/25,1)*Assumptions!C18*Assumptions!C12+Assumptions!C20+Assumptions!C21+Assumptions!C22)</f>
        <v>200000</v>
      </c>
      <c r="F9" s="25" t="n">
        <f aca="false">100*13000-(CEILING(100/25,1)*Assumptions!C18*Assumptions!C12+Assumptions!C20+Assumptions!C21+Assumptions!C22)</f>
        <v>330000</v>
      </c>
      <c r="G9" s="25" t="n">
        <f aca="false">125*13000-(CEILING(125/25,1)*Assumptions!C18*Assumptions!C12+Assumptions!C20+Assumptions!C21+Assumptions!C22)</f>
        <v>460000</v>
      </c>
      <c r="H9" s="25" t="n">
        <f aca="false">150*13000-(CEILING(150/25,1)*Assumptions!C18*Assumptions!C12+Assumptions!C20+Assumptions!C21+Assumptions!C22)</f>
        <v>590000</v>
      </c>
    </row>
    <row r="10" customFormat="false" ht="15" hidden="false" customHeight="true" outlineLevel="0" collapsed="false">
      <c r="B10" s="35" t="s">
        <v>145</v>
      </c>
      <c r="C10" s="25" t="n">
        <f aca="false">30*16500-(CEILING(30/25,1)*Assumptions!C18*Assumptions!C12+Assumptions!C20+Assumptions!C21+Assumptions!C22)</f>
        <v>-85000</v>
      </c>
      <c r="D10" s="25" t="n">
        <f aca="false">50*16500-(CEILING(50/25,1)*Assumptions!C18*Assumptions!C12+Assumptions!C20+Assumptions!C21+Assumptions!C22)</f>
        <v>245000</v>
      </c>
      <c r="E10" s="25" t="n">
        <f aca="false">75*16500-(CEILING(75/25,1)*Assumptions!C18*Assumptions!C12+Assumptions!C20+Assumptions!C21+Assumptions!C22)</f>
        <v>462500</v>
      </c>
      <c r="F10" s="25" t="n">
        <f aca="false">100*16500-(CEILING(100/25,1)*Assumptions!C18*Assumptions!C12+Assumptions!C20+Assumptions!C21+Assumptions!C22)</f>
        <v>680000</v>
      </c>
      <c r="G10" s="25" t="n">
        <f aca="false">125*16500-(CEILING(125/25,1)*Assumptions!C18*Assumptions!C12+Assumptions!C20+Assumptions!C21+Assumptions!C22)</f>
        <v>897500</v>
      </c>
      <c r="H10" s="25" t="n">
        <f aca="false">150*16500-(CEILING(150/25,1)*Assumptions!C18*Assumptions!C12+Assumptions!C20+Assumptions!C21+Assumptions!C22)</f>
        <v>1115000</v>
      </c>
    </row>
    <row r="11" customFormat="false" ht="15" hidden="false" customHeight="true" outlineLevel="0" collapsed="false">
      <c r="B11" s="35" t="s">
        <v>146</v>
      </c>
      <c r="C11" s="25" t="n">
        <f aca="false">30*20000-(CEILING(30/25,1)*Assumptions!C18*Assumptions!C12+Assumptions!C20+Assumptions!C21+Assumptions!C22)</f>
        <v>20000</v>
      </c>
      <c r="D11" s="25" t="n">
        <f aca="false">50*20000-(CEILING(50/25,1)*Assumptions!C18*Assumptions!C12+Assumptions!C20+Assumptions!C21+Assumptions!C22)</f>
        <v>420000</v>
      </c>
      <c r="E11" s="25" t="n">
        <f aca="false">75*20000-(CEILING(75/25,1)*Assumptions!C18*Assumptions!C12+Assumptions!C20+Assumptions!C21+Assumptions!C22)</f>
        <v>725000</v>
      </c>
      <c r="F11" s="25" t="n">
        <f aca="false">100*20000-(CEILING(100/25,1)*Assumptions!C18*Assumptions!C12+Assumptions!C20+Assumptions!C21+Assumptions!C22)</f>
        <v>1030000</v>
      </c>
      <c r="G11" s="25" t="n">
        <f aca="false">125*20000-(CEILING(125/25,1)*Assumptions!C18*Assumptions!C12+Assumptions!C20+Assumptions!C21+Assumptions!C22)</f>
        <v>1335000</v>
      </c>
      <c r="H11" s="25" t="n">
        <f aca="false">150*20000-(CEILING(150/25,1)*Assumptions!C18*Assumptions!C12+Assumptions!C20+Assumptions!C21+Assumptions!C22)</f>
        <v>1640000</v>
      </c>
    </row>
    <row r="12" customFormat="false" ht="15" hidden="false" customHeight="true" outlineLevel="0" collapsed="false">
      <c r="B12" s="35" t="s">
        <v>147</v>
      </c>
      <c r="C12" s="25" t="n">
        <f aca="false">30*25000-(CEILING(30/25,1)*Assumptions!C18*Assumptions!C12+Assumptions!C20+Assumptions!C21+Assumptions!C22)</f>
        <v>170000</v>
      </c>
      <c r="D12" s="25" t="n">
        <f aca="false">50*25000-(CEILING(50/25,1)*Assumptions!C18*Assumptions!C12+Assumptions!C20+Assumptions!C21+Assumptions!C22)</f>
        <v>670000</v>
      </c>
      <c r="E12" s="25" t="n">
        <f aca="false">75*25000-(CEILING(75/25,1)*Assumptions!C18*Assumptions!C12+Assumptions!C20+Assumptions!C21+Assumptions!C22)</f>
        <v>1100000</v>
      </c>
      <c r="F12" s="25" t="n">
        <f aca="false">100*25000-(CEILING(100/25,1)*Assumptions!C18*Assumptions!C12+Assumptions!C20+Assumptions!C21+Assumptions!C22)</f>
        <v>1530000</v>
      </c>
      <c r="G12" s="25" t="n">
        <f aca="false">125*25000-(CEILING(125/25,1)*Assumptions!C18*Assumptions!C12+Assumptions!C20+Assumptions!C21+Assumptions!C22)</f>
        <v>1960000</v>
      </c>
      <c r="H12" s="25" t="n">
        <f aca="false">150*25000-(CEILING(150/25,1)*Assumptions!C18*Assumptions!C12+Assumptions!C20+Assumptions!C21+Assumptions!C22)</f>
        <v>2390000</v>
      </c>
    </row>
    <row r="16" customFormat="false" ht="15" hidden="false" customHeight="true" outlineLevel="0" collapsed="false">
      <c r="B16" s="10" t="s">
        <v>148</v>
      </c>
    </row>
    <row r="18" customFormat="false" ht="15" hidden="false" customHeight="true" outlineLevel="0" collapsed="false">
      <c r="B18" s="33" t="s">
        <v>149</v>
      </c>
      <c r="C18" s="34" t="s">
        <v>150</v>
      </c>
      <c r="D18" s="34" t="s">
        <v>151</v>
      </c>
      <c r="E18" s="34" t="s">
        <v>152</v>
      </c>
      <c r="F18" s="34" t="s">
        <v>153</v>
      </c>
      <c r="G18" s="34" t="s">
        <v>154</v>
      </c>
      <c r="H18" s="34" t="s">
        <v>155</v>
      </c>
    </row>
    <row r="19" customFormat="false" ht="15" hidden="false" customHeight="true" outlineLevel="0" collapsed="false">
      <c r="B19" s="1" t="s">
        <v>156</v>
      </c>
      <c r="C19" s="25" t="n">
        <f aca="false">2*Assumptions!$C$15*Assumptions!$C$11*Assumptions!$C$8</f>
        <v>6600000</v>
      </c>
      <c r="D19" s="25" t="n">
        <f aca="false">5*Assumptions!$C$15*Assumptions!$C$11*Assumptions!$C$8</f>
        <v>16500000</v>
      </c>
      <c r="E19" s="25" t="n">
        <f aca="false">12*Assumptions!$C$15*Assumptions!$C$11*Assumptions!$C$8</f>
        <v>39600000</v>
      </c>
      <c r="F19" s="25" t="n">
        <f aca="false">24*Assumptions!$C$15*Assumptions!$C$11*Assumptions!$C$8</f>
        <v>79200000</v>
      </c>
      <c r="G19" s="25" t="n">
        <f aca="false">40*Assumptions!$C$15*Assumptions!$C$11*Assumptions!$C$8</f>
        <v>132000000</v>
      </c>
      <c r="H19" s="36" t="n">
        <f aca="false">SUM(C19:G19)/10000000</f>
        <v>27.39</v>
      </c>
    </row>
    <row r="20" customFormat="false" ht="15" hidden="false" customHeight="true" outlineLevel="0" collapsed="false">
      <c r="B20" s="1" t="s">
        <v>157</v>
      </c>
      <c r="C20" s="25" t="n">
        <f aca="false">3*Assumptions!$C$15*Assumptions!$C$11*Assumptions!$C$8</f>
        <v>9900000</v>
      </c>
      <c r="D20" s="25" t="n">
        <f aca="false">8*Assumptions!$C$15*Assumptions!$C$11*Assumptions!$C$8</f>
        <v>26400000</v>
      </c>
      <c r="E20" s="25" t="n">
        <f aca="false">20*Assumptions!$C$15*Assumptions!$C$11*Assumptions!$C$8</f>
        <v>66000000</v>
      </c>
      <c r="F20" s="25" t="n">
        <f aca="false">40*Assumptions!$C$15*Assumptions!$C$11*Assumptions!$C$8</f>
        <v>132000000</v>
      </c>
      <c r="G20" s="25" t="n">
        <f aca="false">70*Assumptions!$C$15*Assumptions!$C$11*Assumptions!$C$8</f>
        <v>231000000</v>
      </c>
      <c r="H20" s="36" t="n">
        <f aca="false">SUM(C20:G20)/10000000</f>
        <v>46.53</v>
      </c>
    </row>
    <row r="21" customFormat="false" ht="15" hidden="false" customHeight="true" outlineLevel="0" collapsed="false">
      <c r="B21" s="1" t="s">
        <v>158</v>
      </c>
      <c r="C21" s="25" t="n">
        <f aca="false">4*Assumptions!$C$15*Assumptions!$C$11*Assumptions!$C$8</f>
        <v>13200000</v>
      </c>
      <c r="D21" s="25" t="n">
        <f aca="false">12*Assumptions!$C$15*Assumptions!$C$11*Assumptions!$C$8</f>
        <v>39600000</v>
      </c>
      <c r="E21" s="25" t="n">
        <f aca="false">30*Assumptions!$C$15*Assumptions!$C$11*Assumptions!$C$8</f>
        <v>99000000</v>
      </c>
      <c r="F21" s="25" t="n">
        <f aca="false">60*Assumptions!$C$15*Assumptions!$C$11*Assumptions!$C$8</f>
        <v>198000000</v>
      </c>
      <c r="G21" s="25" t="n">
        <f aca="false">100*Assumptions!$C$15*Assumptions!$C$11*Assumptions!$C$8</f>
        <v>330000000</v>
      </c>
      <c r="H21" s="36" t="n">
        <f aca="false">SUM(C21:G21)/10000000</f>
        <v>67.98</v>
      </c>
    </row>
    <row r="23" customFormat="false" ht="15" hidden="false" customHeight="true" outlineLevel="0" collapsed="false">
      <c r="B23" s="10" t="s">
        <v>159</v>
      </c>
    </row>
    <row r="24" customFormat="false" ht="15" hidden="false" customHeight="true" outlineLevel="0" collapsed="false">
      <c r="B24" s="1" t="s">
        <v>160</v>
      </c>
    </row>
    <row r="25" customFormat="false" ht="15" hidden="false" customHeight="true" outlineLevel="0" collapsed="false">
      <c r="B25" s="1" t="s">
        <v>161</v>
      </c>
    </row>
    <row r="26" customFormat="false" ht="15" hidden="false" customHeight="true" outlineLevel="0" collapsed="false">
      <c r="B26" s="1" t="s">
        <v>162</v>
      </c>
    </row>
    <row r="27" customFormat="false" ht="15" hidden="false" customHeight="true" outlineLevel="0" collapsed="false">
      <c r="B27" s="1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6" min="3" style="0" width="15"/>
  </cols>
  <sheetData>
    <row r="2" customFormat="false" ht="17.35" hidden="false" customHeight="false" outlineLevel="0" collapsed="false">
      <c r="B2" s="37" t="s">
        <v>164</v>
      </c>
    </row>
    <row r="3" customFormat="false" ht="15" hidden="false" customHeight="false" outlineLevel="0" collapsed="false">
      <c r="B3" s="38" t="s">
        <v>165</v>
      </c>
    </row>
    <row r="5" customFormat="false" ht="15" hidden="false" customHeight="false" outlineLevel="0" collapsed="false">
      <c r="B5" s="39" t="s">
        <v>166</v>
      </c>
      <c r="C5" s="40"/>
      <c r="D5" s="40"/>
      <c r="E5" s="40"/>
      <c r="F5" s="40"/>
    </row>
    <row r="6" customFormat="false" ht="15" hidden="false" customHeight="false" outlineLevel="0" collapsed="false">
      <c r="B6" s="0" t="s">
        <v>167</v>
      </c>
      <c r="C6" s="41" t="n">
        <v>95.2</v>
      </c>
      <c r="D6" s="38" t="s">
        <v>168</v>
      </c>
    </row>
    <row r="8" customFormat="false" ht="15" hidden="false" customHeight="false" outlineLevel="0" collapsed="false">
      <c r="B8" s="39" t="s">
        <v>169</v>
      </c>
      <c r="C8" s="40"/>
      <c r="D8" s="40"/>
      <c r="E8" s="40"/>
      <c r="F8" s="40"/>
    </row>
    <row r="9" customFormat="false" ht="15" hidden="false" customHeight="false" outlineLevel="0" collapsed="false">
      <c r="B9" s="42" t="s">
        <v>170</v>
      </c>
      <c r="C9" s="42" t="s">
        <v>171</v>
      </c>
      <c r="D9" s="42" t="s">
        <v>172</v>
      </c>
      <c r="E9" s="42" t="s">
        <v>173</v>
      </c>
    </row>
    <row r="10" customFormat="false" ht="15" hidden="false" customHeight="false" outlineLevel="0" collapsed="false">
      <c r="B10" s="43" t="s">
        <v>174</v>
      </c>
      <c r="C10" s="44" t="n">
        <v>3</v>
      </c>
      <c r="D10" s="44" t="n">
        <v>15</v>
      </c>
      <c r="E10" s="43" t="s">
        <v>175</v>
      </c>
    </row>
    <row r="11" customFormat="false" ht="15" hidden="false" customHeight="false" outlineLevel="0" collapsed="false">
      <c r="B11" s="43" t="s">
        <v>176</v>
      </c>
      <c r="C11" s="44" t="n">
        <v>2.5</v>
      </c>
      <c r="D11" s="44" t="n">
        <v>15</v>
      </c>
      <c r="E11" s="43" t="s">
        <v>175</v>
      </c>
    </row>
    <row r="12" customFormat="false" ht="15" hidden="false" customHeight="false" outlineLevel="0" collapsed="false">
      <c r="B12" s="43" t="s">
        <v>177</v>
      </c>
      <c r="C12" s="44" t="n">
        <v>1.5</v>
      </c>
      <c r="D12" s="44" t="n">
        <v>9</v>
      </c>
      <c r="E12" s="43" t="s">
        <v>178</v>
      </c>
    </row>
    <row r="13" customFormat="false" ht="15" hidden="false" customHeight="false" outlineLevel="0" collapsed="false">
      <c r="B13" s="43" t="s">
        <v>179</v>
      </c>
      <c r="C13" s="44" t="n">
        <v>1</v>
      </c>
      <c r="D13" s="44" t="n">
        <v>5</v>
      </c>
      <c r="E13" s="43" t="s">
        <v>178</v>
      </c>
    </row>
    <row r="14" customFormat="false" ht="15" hidden="false" customHeight="false" outlineLevel="0" collapsed="false">
      <c r="B14" s="43" t="s">
        <v>180</v>
      </c>
      <c r="C14" s="44" t="n">
        <v>0.75</v>
      </c>
      <c r="D14" s="44" t="n">
        <v>4.5</v>
      </c>
      <c r="E14" s="43" t="s">
        <v>178</v>
      </c>
    </row>
    <row r="15" customFormat="false" ht="15" hidden="false" customHeight="false" outlineLevel="0" collapsed="false">
      <c r="B15" s="43" t="s">
        <v>181</v>
      </c>
      <c r="C15" s="44" t="n">
        <v>0.44</v>
      </c>
      <c r="D15" s="44" t="n">
        <v>0.87</v>
      </c>
      <c r="E15" s="43" t="s">
        <v>182</v>
      </c>
    </row>
    <row r="16" customFormat="false" ht="15" hidden="false" customHeight="false" outlineLevel="0" collapsed="false">
      <c r="B16" s="43" t="s">
        <v>183</v>
      </c>
      <c r="C16" s="44" t="n">
        <v>0.4</v>
      </c>
      <c r="D16" s="44" t="n">
        <v>1.6</v>
      </c>
      <c r="E16" s="43" t="s">
        <v>182</v>
      </c>
    </row>
    <row r="17" customFormat="false" ht="15" hidden="false" customHeight="false" outlineLevel="0" collapsed="false">
      <c r="B17" s="43" t="s">
        <v>184</v>
      </c>
      <c r="C17" s="44" t="n">
        <v>0.255</v>
      </c>
      <c r="D17" s="44" t="n">
        <v>1</v>
      </c>
      <c r="E17" s="43" t="s">
        <v>182</v>
      </c>
    </row>
    <row r="18" customFormat="false" ht="15" hidden="false" customHeight="false" outlineLevel="0" collapsed="false">
      <c r="B18" s="43" t="s">
        <v>185</v>
      </c>
      <c r="C18" s="44" t="n">
        <v>0.1</v>
      </c>
      <c r="D18" s="44" t="n">
        <v>0.2</v>
      </c>
      <c r="E18" s="43" t="s">
        <v>182</v>
      </c>
    </row>
    <row r="20" customFormat="false" ht="15" hidden="false" customHeight="false" outlineLevel="0" collapsed="false">
      <c r="B20" s="39" t="s">
        <v>186</v>
      </c>
      <c r="C20" s="40"/>
      <c r="D20" s="40"/>
      <c r="E20" s="40"/>
      <c r="F20" s="40"/>
    </row>
    <row r="21" customFormat="false" ht="15" hidden="false" customHeight="false" outlineLevel="0" collapsed="false">
      <c r="B21" s="42" t="s">
        <v>149</v>
      </c>
      <c r="C21" s="42" t="s">
        <v>187</v>
      </c>
      <c r="D21" s="42" t="s">
        <v>188</v>
      </c>
    </row>
    <row r="22" customFormat="false" ht="15" hidden="false" customHeight="false" outlineLevel="0" collapsed="false">
      <c r="B22" s="0" t="s">
        <v>189</v>
      </c>
      <c r="C22" s="45" t="n">
        <v>25</v>
      </c>
      <c r="D22" s="45" t="n">
        <v>4</v>
      </c>
    </row>
    <row r="23" customFormat="false" ht="15" hidden="false" customHeight="false" outlineLevel="0" collapsed="false">
      <c r="B23" s="46" t="s">
        <v>190</v>
      </c>
      <c r="C23" s="45" t="n">
        <v>60</v>
      </c>
      <c r="D23" s="45" t="n">
        <v>9</v>
      </c>
    </row>
    <row r="24" customFormat="false" ht="15" hidden="false" customHeight="false" outlineLevel="0" collapsed="false">
      <c r="B24" s="0" t="s">
        <v>191</v>
      </c>
      <c r="C24" s="45" t="n">
        <v>120</v>
      </c>
      <c r="D24" s="45" t="n">
        <v>18</v>
      </c>
    </row>
    <row r="25" customFormat="false" ht="15" hidden="false" customHeight="false" outlineLevel="0" collapsed="false">
      <c r="B25" s="0" t="s">
        <v>192</v>
      </c>
      <c r="C25" s="45" t="n">
        <v>50</v>
      </c>
      <c r="D25" s="45" t="n">
        <v>8</v>
      </c>
    </row>
    <row r="26" customFormat="false" ht="15" hidden="false" customHeight="false" outlineLevel="0" collapsed="false">
      <c r="B26" s="38" t="s">
        <v>193</v>
      </c>
    </row>
    <row r="28" customFormat="false" ht="15" hidden="false" customHeight="false" outlineLevel="0" collapsed="false">
      <c r="B28" s="39" t="s">
        <v>194</v>
      </c>
      <c r="C28" s="40"/>
      <c r="D28" s="40"/>
      <c r="E28" s="40"/>
      <c r="F28" s="40"/>
    </row>
    <row r="29" customFormat="false" ht="15" hidden="false" customHeight="false" outlineLevel="0" collapsed="false">
      <c r="B29" s="42" t="s">
        <v>170</v>
      </c>
      <c r="C29" s="42" t="s">
        <v>195</v>
      </c>
      <c r="D29" s="42" t="s">
        <v>196</v>
      </c>
      <c r="E29" s="42" t="s">
        <v>197</v>
      </c>
      <c r="F29" s="42" t="s">
        <v>198</v>
      </c>
    </row>
    <row r="30" customFormat="false" ht="15" hidden="false" customHeight="false" outlineLevel="0" collapsed="false">
      <c r="B30" s="43" t="str">
        <f aca="false">B10</f>
        <v>Claude Sonnet 4.6</v>
      </c>
      <c r="C30" s="47" t="n">
        <f aca="false">$C$23*C10+$D$23*D10</f>
        <v>315</v>
      </c>
      <c r="D30" s="48" t="n">
        <f aca="false">C30*$C$6</f>
        <v>29988</v>
      </c>
      <c r="E30" s="47" t="n">
        <f aca="false">$C$25*C10+$D$25*D10</f>
        <v>270</v>
      </c>
      <c r="F30" s="48" t="n">
        <f aca="false">E30*$C$6</f>
        <v>25704</v>
      </c>
    </row>
    <row r="31" customFormat="false" ht="15" hidden="false" customHeight="false" outlineLevel="0" collapsed="false">
      <c r="B31" s="43" t="str">
        <f aca="false">B11</f>
        <v>GPT-5.4</v>
      </c>
      <c r="C31" s="47" t="n">
        <f aca="false">$C$23*C11+$D$23*D11</f>
        <v>285</v>
      </c>
      <c r="D31" s="48" t="n">
        <f aca="false">C31*$C$6</f>
        <v>27132</v>
      </c>
      <c r="E31" s="47" t="n">
        <f aca="false">$C$25*C11+$D$25*D11</f>
        <v>245</v>
      </c>
      <c r="F31" s="48" t="n">
        <f aca="false">E31*$C$6</f>
        <v>23324</v>
      </c>
    </row>
    <row r="32" customFormat="false" ht="15" hidden="false" customHeight="false" outlineLevel="0" collapsed="false">
      <c r="B32" s="43" t="str">
        <f aca="false">B12</f>
        <v>Gemini 3.5 Flash</v>
      </c>
      <c r="C32" s="47" t="n">
        <f aca="false">$C$23*C12+$D$23*D12</f>
        <v>171</v>
      </c>
      <c r="D32" s="48" t="n">
        <f aca="false">C32*$C$6</f>
        <v>16279.2</v>
      </c>
      <c r="E32" s="47" t="n">
        <f aca="false">$C$25*C12+$D$25*D12</f>
        <v>147</v>
      </c>
      <c r="F32" s="48" t="n">
        <f aca="false">E32*$C$6</f>
        <v>13994.4</v>
      </c>
    </row>
    <row r="33" customFormat="false" ht="15" hidden="false" customHeight="false" outlineLevel="0" collapsed="false">
      <c r="B33" s="43" t="str">
        <f aca="false">B13</f>
        <v>Claude Haiku 4.5</v>
      </c>
      <c r="C33" s="47" t="n">
        <f aca="false">$C$23*C13+$D$23*D13</f>
        <v>105</v>
      </c>
      <c r="D33" s="48" t="n">
        <f aca="false">C33*$C$6</f>
        <v>9996</v>
      </c>
      <c r="E33" s="47" t="n">
        <f aca="false">$C$25*C13+$D$25*D13</f>
        <v>90</v>
      </c>
      <c r="F33" s="48" t="n">
        <f aca="false">E33*$C$6</f>
        <v>8568</v>
      </c>
    </row>
    <row r="34" customFormat="false" ht="15" hidden="false" customHeight="false" outlineLevel="0" collapsed="false">
      <c r="B34" s="43" t="str">
        <f aca="false">B14</f>
        <v>GPT-5.4-mini</v>
      </c>
      <c r="C34" s="47" t="n">
        <f aca="false">$C$23*C14+$D$23*D14</f>
        <v>85.5</v>
      </c>
      <c r="D34" s="48" t="n">
        <f aca="false">C34*$C$6</f>
        <v>8139.6</v>
      </c>
      <c r="E34" s="47" t="n">
        <f aca="false">$C$25*C14+$D$25*D14</f>
        <v>73.5</v>
      </c>
      <c r="F34" s="48" t="n">
        <f aca="false">E34*$C$6</f>
        <v>6997.2</v>
      </c>
    </row>
    <row r="35" customFormat="false" ht="15" hidden="false" customHeight="false" outlineLevel="0" collapsed="false">
      <c r="B35" s="43" t="str">
        <f aca="false">B15</f>
        <v>DeepSeek V4-pro</v>
      </c>
      <c r="C35" s="47" t="n">
        <f aca="false">$C$23*C15+$D$23*D15</f>
        <v>34.23</v>
      </c>
      <c r="D35" s="48" t="n">
        <f aca="false">C35*$C$6</f>
        <v>3258.696</v>
      </c>
      <c r="E35" s="47" t="n">
        <f aca="false">$C$25*C15+$D$25*D15</f>
        <v>28.96</v>
      </c>
      <c r="F35" s="48" t="n">
        <f aca="false">E35*$C$6</f>
        <v>2756.992</v>
      </c>
    </row>
    <row r="36" customFormat="false" ht="15" hidden="false" customHeight="false" outlineLevel="0" collapsed="false">
      <c r="B36" s="43" t="str">
        <f aca="false">B16</f>
        <v>Qwen 3.7-Plus</v>
      </c>
      <c r="C36" s="47" t="n">
        <f aca="false">$C$23*C16+$D$23*D16</f>
        <v>38.4</v>
      </c>
      <c r="D36" s="48" t="n">
        <f aca="false">C36*$C$6</f>
        <v>3655.68</v>
      </c>
      <c r="E36" s="47" t="n">
        <f aca="false">$C$25*C16+$D$25*D16</f>
        <v>32.8</v>
      </c>
      <c r="F36" s="48" t="n">
        <f aca="false">E36*$C$6</f>
        <v>3122.56</v>
      </c>
    </row>
    <row r="37" customFormat="false" ht="15" hidden="false" customHeight="false" outlineLevel="0" collapsed="false">
      <c r="B37" s="43" t="str">
        <f aca="false">B17</f>
        <v>MiniMax M2</v>
      </c>
      <c r="C37" s="47" t="n">
        <f aca="false">$C$23*C17+$D$23*D17</f>
        <v>24.3</v>
      </c>
      <c r="D37" s="48" t="n">
        <f aca="false">C37*$C$6</f>
        <v>2313.36</v>
      </c>
      <c r="E37" s="47" t="n">
        <f aca="false">$C$25*C17+$D$25*D17</f>
        <v>20.75</v>
      </c>
      <c r="F37" s="48" t="n">
        <f aca="false">E37*$C$6</f>
        <v>1975.4</v>
      </c>
    </row>
    <row r="38" customFormat="false" ht="15" hidden="false" customHeight="false" outlineLevel="0" collapsed="false">
      <c r="B38" s="43" t="str">
        <f aca="false">B18</f>
        <v>DeepSeek V4-flash</v>
      </c>
      <c r="C38" s="47" t="n">
        <f aca="false">$C$23*C18+$D$23*D18</f>
        <v>7.8</v>
      </c>
      <c r="D38" s="48" t="n">
        <f aca="false">C38*$C$6</f>
        <v>742.56</v>
      </c>
      <c r="E38" s="47" t="n">
        <f aca="false">$C$25*C18+$D$25*D18</f>
        <v>6.6</v>
      </c>
      <c r="F38" s="48" t="n">
        <f aca="false">E38*$C$6</f>
        <v>628.32</v>
      </c>
    </row>
    <row r="40" customFormat="false" ht="15" hidden="false" customHeight="false" outlineLevel="0" collapsed="false">
      <c r="B40" s="39" t="s">
        <v>199</v>
      </c>
      <c r="C40" s="40"/>
      <c r="D40" s="40"/>
      <c r="E40" s="40"/>
      <c r="F40" s="40"/>
    </row>
    <row r="41" customFormat="false" ht="15" hidden="false" customHeight="false" outlineLevel="0" collapsed="false">
      <c r="B41" s="0" t="s">
        <v>32</v>
      </c>
      <c r="C41" s="49" t="n">
        <f aca="false">Assumptions!C11</f>
        <v>100</v>
      </c>
    </row>
    <row r="42" customFormat="false" ht="15" hidden="false" customHeight="false" outlineLevel="0" collapsed="false">
      <c r="B42" s="0" t="s">
        <v>200</v>
      </c>
      <c r="C42" s="49" t="n">
        <f aca="false">Assumptions!C20</f>
        <v>50000</v>
      </c>
    </row>
    <row r="43" customFormat="false" ht="15" hidden="false" customHeight="false" outlineLevel="0" collapsed="false">
      <c r="B43" s="0" t="s">
        <v>201</v>
      </c>
      <c r="C43" s="49" t="e">
        <f aca="false">per-cohort!c9</f>
        <v>#NAME?</v>
      </c>
    </row>
    <row r="44" customFormat="false" ht="15" hidden="false" customHeight="false" outlineLevel="0" collapsed="false">
      <c r="B44" s="50" t="s">
        <v>202</v>
      </c>
      <c r="C44" s="49" t="n">
        <f aca="false">D30*Assumptions!C11</f>
        <v>2998800</v>
      </c>
    </row>
    <row r="45" customFormat="false" ht="15" hidden="false" customHeight="false" outlineLevel="0" collapsed="false">
      <c r="B45" s="51" t="s">
        <v>203</v>
      </c>
      <c r="C45" s="49" t="n">
        <f aca="false">D35*Assumptions!C11</f>
        <v>325869.6</v>
      </c>
    </row>
    <row r="46" customFormat="false" ht="15" hidden="false" customHeight="false" outlineLevel="0" collapsed="false">
      <c r="B46" s="51" t="s">
        <v>204</v>
      </c>
      <c r="C46" s="49" t="n">
        <f aca="false">D35*Assumptions!C11*0.3</f>
        <v>97760.88</v>
      </c>
    </row>
    <row r="47" customFormat="false" ht="15" hidden="false" customHeight="false" outlineLevel="0" collapsed="false">
      <c r="B47" s="0" t="s">
        <v>205</v>
      </c>
      <c r="C47" s="52" t="e">
        <f aca="false">D30*Assumptions!C11/per-cohort!c9</f>
        <v>#NAME?</v>
      </c>
    </row>
    <row r="48" customFormat="false" ht="15" hidden="false" customHeight="false" outlineLevel="0" collapsed="false">
      <c r="B48" s="0" t="s">
        <v>206</v>
      </c>
      <c r="C48" s="52" t="e">
        <f aca="false">D35*Assumptions!C11/per-cohort!c9</f>
        <v>#NAME?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2026-05-24T22:52:02Z</dcterms:created>
  <dc:creator>openpyxl</dc:creator>
  <dc:description/>
  <dc:language>en-US</dc:language>
  <cp:lastModifiedBy/>
  <dcterms:modified xsi:type="dcterms:W3CDTF">2026-06-08T05:23:08Z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